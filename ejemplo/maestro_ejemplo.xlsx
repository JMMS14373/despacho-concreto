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 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eta" displayName="tblMeta" ref="A1:D2" headerRowCount="1">
  <autoFilter ref="A1:D2"/>
  <tableColumns count="4">
    <tableColumn id="1" name="Version / 版本"/>
    <tableColumn id="2" name="Date / 日期"/>
    <tableColumn id="3" name="Updated by / 更新人"/>
    <tableColumn id="4" name="Notes / 备注"/>
  </tableColumns>
  <tableStyleInfo name="TableStyleMedium2" showRowStripes="1"/>
</table>
</file>

<file path=xl/tables/table2.xml><?xml version="1.0" encoding="utf-8"?>
<table xmlns="http://schemas.openxmlformats.org/spreadsheetml/2006/main" id="2" name="tblContractor" displayName="tblContractor" ref="F1:G4" headerRowCount="1">
  <autoFilter ref="F1:G4"/>
  <tableColumns count="2">
    <tableColumn id="6" name="Contractor / 承包商"/>
    <tableColumn id="7" name="Code / 代码"/>
  </tableColumns>
  <tableStyleInfo name="TableStyleMedium2" showRowStripes="1"/>
</table>
</file>

<file path=xl/tables/table3.xml><?xml version="1.0" encoding="utf-8"?>
<table xmlns="http://schemas.openxmlformats.org/spreadsheetml/2006/main" id="3" name="tblShift" displayName="tblShift" ref="I1:K3" headerRowCount="1">
  <autoFilter ref="I1:K3"/>
  <tableColumns count="3">
    <tableColumn id="9" name="Shift / 班"/>
    <tableColumn id="10" name="Start / 开始"/>
    <tableColumn id="11" name="End / 结束"/>
  </tableColumns>
  <tableStyleInfo name="TableStyleMedium2" showRowStripes="1"/>
</table>
</file>

<file path=xl/tables/table4.xml><?xml version="1.0" encoding="utf-8"?>
<table xmlns="http://schemas.openxmlformats.org/spreadsheetml/2006/main" id="4" name="tblGuard" displayName="tblGuard" ref="M1:M4" headerRowCount="1">
  <autoFilter ref="M1:M4"/>
  <tableColumns count="1">
    <tableColumn id="13" name="Guard / 警卫"/>
  </tableColumns>
  <tableStyleInfo name="TableStyleMedium2" showRowStripes="1"/>
</table>
</file>

<file path=xl/tables/table5.xml><?xml version="1.0" encoding="utf-8"?>
<table xmlns="http://schemas.openxmlformats.org/spreadsheetml/2006/main" id="5" name="tblMachineStatus" displayName="tblMachineStatus" ref="O1:O6" headerRowCount="1">
  <autoFilter ref="O1:O6"/>
  <tableColumns count="1">
    <tableColumn id="15" name="Status / 状态"/>
  </tableColumns>
  <tableStyleInfo name="TableStyleMedium2" showRowStripes="1"/>
</table>
</file>

<file path=xl/tables/table6.xml><?xml version="1.0" encoding="utf-8"?>
<table xmlns="http://schemas.openxmlformats.org/spreadsheetml/2006/main" id="6" name="tblMachineType" displayName="tblMachineType" ref="Q1:Q5" headerRowCount="1">
  <autoFilter ref="Q1:Q5"/>
  <tableColumns count="1">
    <tableColumn id="17" name="Type / 类型"/>
  </tableColumns>
  <tableStyleInfo name="TableStyleMedium2" showRowStripes="1"/>
</table>
</file>

<file path=xl/tables/table7.xml><?xml version="1.0" encoding="utf-8"?>
<table xmlns="http://schemas.openxmlformats.org/spreadsheetml/2006/main" id="7" name="tblRange" displayName="tblRange" ref="S1:S3" headerRowCount="1">
  <autoFilter ref="S1:S3"/>
  <tableColumns count="1">
    <tableColumn id="19" name="Range / 范围"/>
  </tableColumns>
  <tableStyleInfo name="TableStyleMedium2" showRowStripes="1"/>
</table>
</file>

<file path=xl/tables/table8.xml><?xml version="1.0" encoding="utf-8"?>
<table xmlns="http://schemas.openxmlformats.org/spreadsheetml/2006/main" id="8" name="tblDispatcher" displayName="tblDispatcher" ref="U1:Y2" headerRowCount="1">
  <autoFilter ref="U1:Y2"/>
  <tableColumns count="5">
    <tableColumn id="21" name="Dispatcher name / 调度员名称"/>
    <tableColumn id="22" name="Code / 代码"/>
    <tableColumn id="23" name="Shift / 班"/>
    <tableColumn id="24" name="Guard / 警卫"/>
    <tableColumn id="25" name="Active / 积极的"/>
  </tableColumns>
  <tableStyleInfo name="TableStyleMedium2" showRowStripes="1"/>
</table>
</file>

<file path=xl/tables/table9.xml><?xml version="1.0" encoding="utf-8"?>
<table xmlns="http://schemas.openxmlformats.org/spreadsheetml/2006/main" id="9" name="tblOperator" displayName="tblOperator" ref="AA1:AF8" headerRowCount="1">
  <autoFilter ref="AA1:AF8"/>
  <tableColumns count="6">
    <tableColumn id="27" name="Operator name / 操作员名称"/>
    <tableColumn id="28" name="Code / 代码"/>
    <tableColumn id="29" name="Range / 范围"/>
    <tableColumn id="30" name="Contractor / 承包商"/>
    <tableColumn id="31" name="Guard / 警卫"/>
    <tableColumn id="32" name="Active / 积极的"/>
  </tableColumns>
  <tableStyleInfo name="TableStyleMedium2" showRowStripes="1"/>
</table>
</file>

<file path=xl/tables/table10.xml><?xml version="1.0" encoding="utf-8"?>
<table xmlns="http://schemas.openxmlformats.org/spreadsheetml/2006/main" id="10" name="tblMachine" displayName="tblMachine" ref="AH1:AO5" headerRowCount="1">
  <autoFilter ref="AH1:AO5"/>
  <tableColumns count="8">
    <tableColumn id="34" name="Machine name / 机器名称"/>
    <tableColumn id="35" name="Machine Code / 机器码"/>
    <tableColumn id="36" name="Type / 类型"/>
    <tableColumn id="37" name="Contractor / 承包商"/>
    <tableColumn id="38" name="Capacity [m³] / 容量"/>
    <tableColumn id="39" name="Status / 状态"/>
    <tableColumn id="40" name="Observation / 备注"/>
    <tableColumn id="41" name="Active / 积极的"/>
  </tableColumns>
  <tableStyleInfo name="TableStyleMedium2" showRowStripes="1"/>
</table>
</file>

<file path=xl/tables/table11.xml><?xml version="1.0" encoding="utf-8"?>
<table xmlns="http://schemas.openxmlformats.org/spreadsheetml/2006/main" id="11" name="tblLabor" displayName="tblLabor" ref="AQ1:BA4" headerRowCount="1">
  <autoFilter ref="AQ1:BA4"/>
  <tableColumns count="11">
    <tableColumn id="43" name="Month / 月"/>
    <tableColumn id="44" name="Contractor / 承包商"/>
    <tableColumn id="45" name="System / 系统"/>
    <tableColumn id="46" name="Level / 等级"/>
    <tableColumn id="47" name="Heading / 标题"/>
    <tableColumn id="48" name="Name / 姓名"/>
    <tableColumn id="49" name="Type / 类型"/>
    <tableColumn id="50" name="Category / 类别"/>
    <tableColumn id="51" name="Size [m]"/>
    <tableColumn id="52" name="Meters Plan [m] / 平面图 [米]"/>
    <tableColumn id="53" name="Active / 积极的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14" customWidth="1" min="4" max="4"/>
    <col width="20" customWidth="1" min="6" max="6"/>
    <col width="13" customWidth="1" min="7" max="7"/>
    <col width="13" customWidth="1" min="9" max="9"/>
    <col width="14" customWidth="1" min="10" max="10"/>
    <col width="12" customWidth="1" min="11" max="11"/>
    <col width="14" customWidth="1" min="13" max="13"/>
    <col width="15" customWidth="1" min="15" max="15"/>
    <col width="13" customWidth="1" min="17" max="17"/>
    <col width="14" customWidth="1" min="19" max="19"/>
    <col width="27" customWidth="1" min="21" max="21"/>
    <col width="13" customWidth="1" min="22" max="22"/>
    <col width="13" customWidth="1" min="23" max="23"/>
    <col width="14" customWidth="1" min="24" max="24"/>
    <col width="16" customWidth="1" min="25" max="25"/>
    <col width="25" customWidth="1" min="27" max="27"/>
    <col width="13" customWidth="1" min="28" max="28"/>
    <col width="14" customWidth="1" min="29" max="29"/>
    <col width="20" customWidth="1" min="30" max="30"/>
    <col width="14" customWidth="1" min="31" max="31"/>
    <col width="16" customWidth="1" min="32" max="32"/>
    <col width="23" customWidth="1" min="34" max="34"/>
    <col width="22" customWidth="1" min="35" max="35"/>
    <col width="13" customWidth="1" min="36" max="36"/>
    <col width="20" customWidth="1" min="37" max="37"/>
    <col width="22" customWidth="1" min="38" max="38"/>
    <col width="15" customWidth="1" min="39" max="39"/>
    <col width="20" customWidth="1" min="40" max="40"/>
    <col width="16" customWidth="1" min="41" max="41"/>
    <col width="13" customWidth="1" min="43" max="43"/>
    <col width="20" customWidth="1" min="44" max="44"/>
    <col width="15" customWidth="1" min="45" max="45"/>
    <col width="14" customWidth="1" min="46" max="46"/>
    <col width="16" customWidth="1" min="47" max="47"/>
    <col width="13" customWidth="1" min="48" max="48"/>
    <col width="13" customWidth="1" min="49" max="49"/>
    <col width="17" customWidth="1" min="50" max="50"/>
    <col width="12" customWidth="1" min="51" max="51"/>
    <col width="29" customWidth="1" min="52" max="52"/>
    <col width="16" customWidth="1" min="53" max="53"/>
  </cols>
  <sheetData>
    <row r="1" ht="32" customHeight="1">
      <c r="A1" s="1" t="inlineStr">
        <is>
          <t>Version / 版本</t>
        </is>
      </c>
      <c r="B1" s="1" t="inlineStr">
        <is>
          <t>Date / 日期</t>
        </is>
      </c>
      <c r="C1" s="1" t="inlineStr">
        <is>
          <t>Updated by / 更新人</t>
        </is>
      </c>
      <c r="D1" s="1" t="inlineStr">
        <is>
          <t>Notes / 备注</t>
        </is>
      </c>
      <c r="F1" s="1" t="inlineStr">
        <is>
          <t>Contractor / 承包商</t>
        </is>
      </c>
      <c r="G1" s="1" t="inlineStr">
        <is>
          <t>Code / 代码</t>
        </is>
      </c>
      <c r="I1" s="1" t="inlineStr">
        <is>
          <t>Shift / 班</t>
        </is>
      </c>
      <c r="J1" s="1" t="inlineStr">
        <is>
          <t>Start / 开始</t>
        </is>
      </c>
      <c r="K1" s="1" t="inlineStr">
        <is>
          <t>End / 结束</t>
        </is>
      </c>
      <c r="M1" s="1" t="inlineStr">
        <is>
          <t>Guard / 警卫</t>
        </is>
      </c>
      <c r="O1" s="1" t="inlineStr">
        <is>
          <t>Status / 状态</t>
        </is>
      </c>
      <c r="Q1" s="1" t="inlineStr">
        <is>
          <t>Type / 类型</t>
        </is>
      </c>
      <c r="S1" s="1" t="inlineStr">
        <is>
          <t>Range / 范围</t>
        </is>
      </c>
      <c r="U1" s="1" t="inlineStr">
        <is>
          <t>Dispatcher name / 调度员名称</t>
        </is>
      </c>
      <c r="V1" s="1" t="inlineStr">
        <is>
          <t>Code / 代码</t>
        </is>
      </c>
      <c r="W1" s="1" t="inlineStr">
        <is>
          <t>Shift / 班</t>
        </is>
      </c>
      <c r="X1" s="1" t="inlineStr">
        <is>
          <t>Guard / 警卫</t>
        </is>
      </c>
      <c r="Y1" s="1" t="inlineStr">
        <is>
          <t>Active / 积极的</t>
        </is>
      </c>
      <c r="AA1" s="1" t="inlineStr">
        <is>
          <t>Operator name / 操作员名称</t>
        </is>
      </c>
      <c r="AB1" s="1" t="inlineStr">
        <is>
          <t>Code / 代码</t>
        </is>
      </c>
      <c r="AC1" s="1" t="inlineStr">
        <is>
          <t>Range / 范围</t>
        </is>
      </c>
      <c r="AD1" s="1" t="inlineStr">
        <is>
          <t>Contractor / 承包商</t>
        </is>
      </c>
      <c r="AE1" s="1" t="inlineStr">
        <is>
          <t>Guard / 警卫</t>
        </is>
      </c>
      <c r="AF1" s="1" t="inlineStr">
        <is>
          <t>Active / 积极的</t>
        </is>
      </c>
      <c r="AH1" s="1" t="inlineStr">
        <is>
          <t>Machine name / 机器名称</t>
        </is>
      </c>
      <c r="AI1" s="1" t="inlineStr">
        <is>
          <t>Machine Code / 机器码</t>
        </is>
      </c>
      <c r="AJ1" s="1" t="inlineStr">
        <is>
          <t>Type / 类型</t>
        </is>
      </c>
      <c r="AK1" s="1" t="inlineStr">
        <is>
          <t>Contractor / 承包商</t>
        </is>
      </c>
      <c r="AL1" s="1" t="inlineStr">
        <is>
          <t>Capacity [m³] / 容量</t>
        </is>
      </c>
      <c r="AM1" s="1" t="inlineStr">
        <is>
          <t>Status / 状态</t>
        </is>
      </c>
      <c r="AN1" s="1" t="inlineStr">
        <is>
          <t>Observation / 备注</t>
        </is>
      </c>
      <c r="AO1" s="1" t="inlineStr">
        <is>
          <t>Active / 积极的</t>
        </is>
      </c>
      <c r="AQ1" s="1" t="inlineStr">
        <is>
          <t>Month / 月</t>
        </is>
      </c>
      <c r="AR1" s="1" t="inlineStr">
        <is>
          <t>Contractor / 承包商</t>
        </is>
      </c>
      <c r="AS1" s="1" t="inlineStr">
        <is>
          <t>System / 系统</t>
        </is>
      </c>
      <c r="AT1" s="1" t="inlineStr">
        <is>
          <t>Level / 等级</t>
        </is>
      </c>
      <c r="AU1" s="1" t="inlineStr">
        <is>
          <t>Heading / 标题</t>
        </is>
      </c>
      <c r="AV1" s="1" t="inlineStr">
        <is>
          <t>Name / 姓名</t>
        </is>
      </c>
      <c r="AW1" s="1" t="inlineStr">
        <is>
          <t>Type / 类型</t>
        </is>
      </c>
      <c r="AX1" s="1" t="inlineStr">
        <is>
          <t>Category / 类别</t>
        </is>
      </c>
      <c r="AY1" s="1" t="inlineStr">
        <is>
          <t>Size [m]</t>
        </is>
      </c>
      <c r="AZ1" s="1" t="inlineStr">
        <is>
          <t>Meters Plan [m] / 平面图 [米]</t>
        </is>
      </c>
      <c r="BA1" s="1" t="inlineStr">
        <is>
          <t>Active / 积极的</t>
        </is>
      </c>
    </row>
    <row r="2">
      <c r="A2" t="n">
        <v>1</v>
      </c>
      <c r="B2" s="2" t="n">
        <v>46023</v>
      </c>
      <c r="C2" t="inlineStr">
        <is>
          <t>Administrador</t>
        </is>
      </c>
      <c r="D2" t="inlineStr">
        <is>
          <t>Maestro de ejemplo: datos genéricos</t>
        </is>
      </c>
      <c r="F2" t="inlineStr">
        <is>
          <t>CONTRATISTA A</t>
        </is>
      </c>
      <c r="G2" t="inlineStr">
        <is>
          <t>CTA</t>
        </is>
      </c>
      <c r="I2" t="inlineStr">
        <is>
          <t>Day / 白班</t>
        </is>
      </c>
      <c r="J2" t="inlineStr">
        <is>
          <t>06:00</t>
        </is>
      </c>
      <c r="K2" t="inlineStr">
        <is>
          <t>18:00</t>
        </is>
      </c>
      <c r="M2" t="inlineStr">
        <is>
          <t>A</t>
        </is>
      </c>
      <c r="O2" t="inlineStr">
        <is>
          <t>Operativo / 运行</t>
        </is>
      </c>
      <c r="Q2" t="inlineStr">
        <is>
          <t>Mixer / 搅拌车</t>
        </is>
      </c>
      <c r="S2" t="inlineStr">
        <is>
          <t>Conductor Mixer / 搅拌车司机</t>
        </is>
      </c>
      <c r="U2" t="inlineStr">
        <is>
          <t>Despachador 01</t>
        </is>
      </c>
      <c r="V2" t="inlineStr">
        <is>
          <t>D01</t>
        </is>
      </c>
      <c r="W2" t="inlineStr">
        <is>
          <t>Day / 白班</t>
        </is>
      </c>
      <c r="X2" t="inlineStr">
        <is>
          <t>A</t>
        </is>
      </c>
      <c r="Y2" t="b">
        <v>1</v>
      </c>
      <c r="AA2" t="inlineStr">
        <is>
          <t>Conductor 01</t>
        </is>
      </c>
      <c r="AB2" t="inlineStr">
        <is>
          <t>C01</t>
        </is>
      </c>
      <c r="AC2" t="inlineStr">
        <is>
          <t>Conductor Mixer / 搅拌车司机</t>
        </is>
      </c>
      <c r="AD2" t="inlineStr">
        <is>
          <t>CONTRATISTA A</t>
        </is>
      </c>
      <c r="AE2" t="inlineStr">
        <is>
          <t>B</t>
        </is>
      </c>
      <c r="AF2" t="b">
        <v>1</v>
      </c>
      <c r="AH2" t="inlineStr">
        <is>
          <t>Mixer 01</t>
        </is>
      </c>
      <c r="AI2" t="inlineStr">
        <is>
          <t>MX-01</t>
        </is>
      </c>
      <c r="AJ2" t="inlineStr">
        <is>
          <t>Mixer / 搅拌车</t>
        </is>
      </c>
      <c r="AK2" t="inlineStr">
        <is>
          <t>CONTRATISTA A</t>
        </is>
      </c>
      <c r="AL2" t="n">
        <v>4</v>
      </c>
      <c r="AM2" t="inlineStr">
        <is>
          <t>Operativo / 运行</t>
        </is>
      </c>
      <c r="AO2" t="b">
        <v>1</v>
      </c>
      <c r="AQ2" t="inlineStr">
        <is>
          <t>January</t>
        </is>
      </c>
      <c r="AR2" t="inlineStr">
        <is>
          <t>CONTRATISTA A</t>
        </is>
      </c>
      <c r="AS2">
        <f>MID(tblLabor[[#This Row],[Heading / 标题]],1,2)</f>
        <v/>
      </c>
      <c r="AT2">
        <f>MID(tblLabor[[#This Row],[Heading / 标题]],4,4)</f>
        <v/>
      </c>
      <c r="AU2" t="inlineStr">
        <is>
          <t>XX_0100_GA0001W</t>
        </is>
      </c>
      <c r="AV2" t="inlineStr">
        <is>
          <t>XX_0100_GA0001W</t>
        </is>
      </c>
      <c r="AW2" t="inlineStr">
        <is>
          <t>Desarrollo / 开拓</t>
        </is>
      </c>
      <c r="AX2" t="inlineStr">
        <is>
          <t>Access / 通道</t>
        </is>
      </c>
      <c r="AY2" t="inlineStr">
        <is>
          <t>4.5 x 4.3</t>
        </is>
      </c>
      <c r="AZ2" t="n">
        <v>30</v>
      </c>
      <c r="BA2" t="b">
        <v>1</v>
      </c>
    </row>
    <row r="3">
      <c r="F3" t="inlineStr">
        <is>
          <t>CONTRATISTA B</t>
        </is>
      </c>
      <c r="G3" t="inlineStr">
        <is>
          <t>CTB</t>
        </is>
      </c>
      <c r="I3" t="inlineStr">
        <is>
          <t>Night / 夜班</t>
        </is>
      </c>
      <c r="J3" t="inlineStr">
        <is>
          <t>18:00</t>
        </is>
      </c>
      <c r="K3" t="inlineStr">
        <is>
          <t>06:00</t>
        </is>
      </c>
      <c r="M3" t="inlineStr">
        <is>
          <t>B</t>
        </is>
      </c>
      <c r="O3" t="inlineStr">
        <is>
          <t>Inoperativo / 停机</t>
        </is>
      </c>
      <c r="Q3" t="inlineStr">
        <is>
          <t>Robojet / 喷浆台车</t>
        </is>
      </c>
      <c r="S3" t="inlineStr">
        <is>
          <t>Operador Robojet / 喷浆台车操作员</t>
        </is>
      </c>
      <c r="AA3" t="inlineStr">
        <is>
          <t>Conductor 02</t>
        </is>
      </c>
      <c r="AB3" t="inlineStr">
        <is>
          <t>C02</t>
        </is>
      </c>
      <c r="AC3" t="inlineStr">
        <is>
          <t>Conductor Mixer / 搅拌车司机</t>
        </is>
      </c>
      <c r="AD3" t="inlineStr">
        <is>
          <t>CONTRATISTA B</t>
        </is>
      </c>
      <c r="AE3" t="inlineStr">
        <is>
          <t>C</t>
        </is>
      </c>
      <c r="AF3" t="b">
        <v>1</v>
      </c>
      <c r="AH3" t="inlineStr">
        <is>
          <t>Mixer 02</t>
        </is>
      </c>
      <c r="AI3" t="inlineStr">
        <is>
          <t>MX-02</t>
        </is>
      </c>
      <c r="AJ3" t="inlineStr">
        <is>
          <t>Mixer / 搅拌车</t>
        </is>
      </c>
      <c r="AK3" t="inlineStr">
        <is>
          <t>CONTRATISTA B</t>
        </is>
      </c>
      <c r="AL3" t="n">
        <v>4</v>
      </c>
      <c r="AM3" t="inlineStr">
        <is>
          <t>Operativo / 运行</t>
        </is>
      </c>
      <c r="AO3" t="b">
        <v>1</v>
      </c>
      <c r="AQ3" t="inlineStr">
        <is>
          <t>January</t>
        </is>
      </c>
      <c r="AR3" t="inlineStr">
        <is>
          <t>CONTRATISTA B</t>
        </is>
      </c>
      <c r="AS3">
        <f>MID(tblLabor[[#This Row],[Heading / 标题]],1,2)</f>
        <v/>
      </c>
      <c r="AT3">
        <f>MID(tblLabor[[#This Row],[Heading / 标题]],4,4)</f>
        <v/>
      </c>
      <c r="AU3" t="inlineStr">
        <is>
          <t>XX_0100_GA0002E</t>
        </is>
      </c>
      <c r="AV3" t="inlineStr">
        <is>
          <t>XX_0100_GA0002E</t>
        </is>
      </c>
      <c r="AW3" t="inlineStr">
        <is>
          <t>Desarrollo / 开拓</t>
        </is>
      </c>
      <c r="AX3" t="inlineStr">
        <is>
          <t>Ore / 矿石</t>
        </is>
      </c>
      <c r="AY3" t="inlineStr">
        <is>
          <t>3.3 x 4.0</t>
        </is>
      </c>
      <c r="AZ3" t="n">
        <v>20</v>
      </c>
      <c r="BA3" t="b">
        <v>1</v>
      </c>
    </row>
    <row r="4">
      <c r="F4" t="inlineStr">
        <is>
          <t>OPERACION PROPIA</t>
        </is>
      </c>
      <c r="G4" t="inlineStr">
        <is>
          <t>OPP</t>
        </is>
      </c>
      <c r="M4" t="inlineStr">
        <is>
          <t>C</t>
        </is>
      </c>
      <c r="O4" t="inlineStr">
        <is>
          <t>En mantenimiento / 维修中</t>
        </is>
      </c>
      <c r="Q4" t="inlineStr">
        <is>
          <t>Bomba / 泵</t>
        </is>
      </c>
      <c r="AA4" t="inlineStr">
        <is>
          <t>Conductor 03</t>
        </is>
      </c>
      <c r="AB4" t="inlineStr">
        <is>
          <t>C03</t>
        </is>
      </c>
      <c r="AC4" t="inlineStr">
        <is>
          <t>Conductor Mixer / 搅拌车司机</t>
        </is>
      </c>
      <c r="AD4" t="inlineStr">
        <is>
          <t>CONTRATISTA A</t>
        </is>
      </c>
      <c r="AE4" t="inlineStr">
        <is>
          <t>A</t>
        </is>
      </c>
      <c r="AF4" t="b">
        <v>1</v>
      </c>
      <c r="AH4" t="inlineStr">
        <is>
          <t>Mixer 03</t>
        </is>
      </c>
      <c r="AI4" t="inlineStr">
        <is>
          <t>MX-03</t>
        </is>
      </c>
      <c r="AJ4" t="inlineStr">
        <is>
          <t>Mixer / 搅拌车</t>
        </is>
      </c>
      <c r="AK4" t="inlineStr">
        <is>
          <t>CONTRATISTA B</t>
        </is>
      </c>
      <c r="AL4" t="n">
        <v>4</v>
      </c>
      <c r="AM4" t="inlineStr">
        <is>
          <t>Inoperativo / 停机</t>
        </is>
      </c>
      <c r="AN4" t="inlineStr">
        <is>
          <t>Ejemplo</t>
        </is>
      </c>
      <c r="AO4" t="b">
        <v>1</v>
      </c>
      <c r="AQ4" t="inlineStr">
        <is>
          <t>January</t>
        </is>
      </c>
      <c r="AR4" t="inlineStr">
        <is>
          <t>OPERACION PROPIA</t>
        </is>
      </c>
      <c r="AS4">
        <f>MID(tblLabor[[#This Row],[Heading / 标题]],1,2)</f>
        <v/>
      </c>
      <c r="AT4">
        <f>MID(tblLabor[[#This Row],[Heading / 标题]],4,4)</f>
        <v/>
      </c>
      <c r="AU4" t="inlineStr">
        <is>
          <t>XX_0200_GA0003W</t>
        </is>
      </c>
      <c r="AV4" t="inlineStr">
        <is>
          <t>XX_0200_Panel_W_ST_1</t>
        </is>
      </c>
      <c r="AW4" t="inlineStr">
        <is>
          <t>Panel / 采场</t>
        </is>
      </c>
      <c r="AX4" t="inlineStr">
        <is>
          <t>Produccion / 生产</t>
        </is>
      </c>
      <c r="BA4" t="b">
        <v>1</v>
      </c>
    </row>
    <row r="5">
      <c r="O5" t="inlineStr">
        <is>
          <t>Standby / 待命</t>
        </is>
      </c>
      <c r="Q5" t="inlineStr">
        <is>
          <t>Otro / 其他</t>
        </is>
      </c>
      <c r="AA5" t="inlineStr">
        <is>
          <t>Conductor 04</t>
        </is>
      </c>
      <c r="AB5" t="inlineStr">
        <is>
          <t>C04</t>
        </is>
      </c>
      <c r="AC5" t="inlineStr">
        <is>
          <t>Conductor Mixer / 搅拌车司机</t>
        </is>
      </c>
      <c r="AD5" t="inlineStr">
        <is>
          <t>CONTRATISTA B</t>
        </is>
      </c>
      <c r="AE5" t="inlineStr">
        <is>
          <t>B</t>
        </is>
      </c>
      <c r="AF5" t="b">
        <v>1</v>
      </c>
      <c r="AH5" t="inlineStr">
        <is>
          <t>Robojet 01</t>
        </is>
      </c>
      <c r="AI5" t="inlineStr">
        <is>
          <t>RJ-01</t>
        </is>
      </c>
      <c r="AJ5" t="inlineStr">
        <is>
          <t>Robojet / 喷浆台车</t>
        </is>
      </c>
      <c r="AK5" t="inlineStr">
        <is>
          <t>OPERACION PROPIA</t>
        </is>
      </c>
      <c r="AM5" t="inlineStr">
        <is>
          <t>Operativo / 运行</t>
        </is>
      </c>
      <c r="AO5" t="b">
        <v>1</v>
      </c>
    </row>
    <row r="6">
      <c r="O6" t="inlineStr">
        <is>
          <t>Baja / 报废</t>
        </is>
      </c>
      <c r="AA6" t="inlineStr">
        <is>
          <t>Conductor 05</t>
        </is>
      </c>
      <c r="AB6" t="inlineStr">
        <is>
          <t>C05</t>
        </is>
      </c>
      <c r="AC6" t="inlineStr">
        <is>
          <t>Conductor Mixer / 搅拌车司机</t>
        </is>
      </c>
      <c r="AD6" t="inlineStr">
        <is>
          <t>CONTRATISTA A</t>
        </is>
      </c>
      <c r="AE6" t="inlineStr">
        <is>
          <t>C</t>
        </is>
      </c>
      <c r="AF6" t="b">
        <v>1</v>
      </c>
    </row>
    <row r="7">
      <c r="AA7" t="inlineStr">
        <is>
          <t>Conductor 06</t>
        </is>
      </c>
      <c r="AB7" t="inlineStr">
        <is>
          <t>C06</t>
        </is>
      </c>
      <c r="AC7" t="inlineStr">
        <is>
          <t>Conductor Mixer / 搅拌车司机</t>
        </is>
      </c>
      <c r="AD7" t="inlineStr">
        <is>
          <t>CONTRATISTA B</t>
        </is>
      </c>
      <c r="AE7" t="inlineStr">
        <is>
          <t>A</t>
        </is>
      </c>
      <c r="AF7" t="b">
        <v>1</v>
      </c>
    </row>
    <row r="8">
      <c r="AA8" t="inlineStr">
        <is>
          <t>Operador Robojet 01</t>
        </is>
      </c>
      <c r="AB8" t="inlineStr">
        <is>
          <t>R01</t>
        </is>
      </c>
      <c r="AC8" t="inlineStr">
        <is>
          <t>Operador Robojet / 喷浆台车操作员</t>
        </is>
      </c>
      <c r="AD8" t="inlineStr">
        <is>
          <t>OPERACION PROPIA</t>
        </is>
      </c>
      <c r="AE8" t="inlineStr">
        <is>
          <t>A</t>
        </is>
      </c>
      <c r="AF8" t="b">
        <v>1</v>
      </c>
    </row>
  </sheetData>
  <dataValidations count="9">
    <dataValidation sqref="AM2:AM304" showDropDown="0" showInputMessage="0" showErrorMessage="0" allowBlank="1" type="list">
      <formula1>='Maestro 主数据'!$O$2:$O$6</formula1>
    </dataValidation>
    <dataValidation sqref="AJ2:AJ304" showDropDown="0" showInputMessage="0" showErrorMessage="0" allowBlank="1" type="list">
      <formula1>='Maestro 主数据'!$Q$2:$Q$5</formula1>
    </dataValidation>
    <dataValidation sqref="AK2:AK304" showDropDown="0" showInputMessage="0" showErrorMessage="0" allowBlank="1" type="list">
      <formula1>='Maestro 主数据'!$F$2:$F$4</formula1>
    </dataValidation>
    <dataValidation sqref="AC2:AC307" showDropDown="0" showInputMessage="0" showErrorMessage="0" allowBlank="1" type="list">
      <formula1>='Maestro 主数据'!$S$2:$S$3</formula1>
    </dataValidation>
    <dataValidation sqref="AD2:AD307" showDropDown="0" showInputMessage="0" showErrorMessage="0" allowBlank="1" type="list">
      <formula1>='Maestro 主数据'!$F$2:$F$4</formula1>
    </dataValidation>
    <dataValidation sqref="AE2:AE307" showDropDown="0" showInputMessage="0" showErrorMessage="0" allowBlank="1" type="list">
      <formula1>='Maestro 主数据'!$M$2:$M$4</formula1>
    </dataValidation>
    <dataValidation sqref="W2:W301" showDropDown="0" showInputMessage="0" showErrorMessage="0" allowBlank="1" type="list">
      <formula1>='Maestro 主数据'!$I$2:$I$3</formula1>
    </dataValidation>
    <dataValidation sqref="X2:X301" showDropDown="0" showInputMessage="0" showErrorMessage="0" allowBlank="1" type="list">
      <formula1>='Maestro 主数据'!$M$2:$M$4</formula1>
    </dataValidation>
    <dataValidation sqref="AR2:AR2003" showDropDown="0" showInputMessage="0" showErrorMessage="0" allowBlank="1" type="list">
      <formula1>='Maestro 主数据'!$F$2:$F$4</formula1>
    </dataValidation>
  </dataValidations>
  <pageMargins left="0.75" right="0.75" top="1" bottom="1" header="0.5" footer="0.5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2026-10-15T04:58:10Z</dcterms:created>
  <dcterms:modified xmlns:dcterms="http://purl.org/dc/terms/" xmlns:xsi="http://www.w3.org/2001/XMLSchema-instance" xsi:type="dcterms:W3CDTF">2026-10-15T04:58:10Z</dcterms:modified>
</cp:coreProperties>
</file>